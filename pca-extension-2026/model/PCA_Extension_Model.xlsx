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FA deal" sheetId="3" state="visible" r:id="rId5"/>
    <sheet name="Model"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<sst xmlns="http://schemas.openxmlformats.org/spreadsheetml/2006/main" count="97" uniqueCount="90">
  <si>
    <t xml:space="preserve">Pete Crow-Armstrong, six years and $115 million: what it is actually worth</t>
  </si>
  <si>
    <t xml:space="preserve">All figures in millions of dollars, present value as of 2026. Change anything on the Assumptions tab and these move.</t>
  </si>
  <si>
    <t xml:space="preserve">What the Cubs pay</t>
  </si>
  <si>
    <t xml:space="preserve">Guarantee, nominal</t>
  </si>
  <si>
    <t xml:space="preserve">Six salaries plus the signing bonus.</t>
  </si>
  <si>
    <t xml:space="preserve">Guarantee, present value at 2026</t>
  </si>
  <si>
    <t xml:space="preserve">The schedule is backloaded, which is worth real money and is invisible in the average annual value.</t>
  </si>
  <si>
    <t xml:space="preserve">Average annual value</t>
  </si>
  <si>
    <t xml:space="preserve">A competitive balance tax concept, not an economic one.</t>
  </si>
  <si>
    <t xml:space="preserve">Question A: was he worth it?</t>
  </si>
  <si>
    <t xml:space="preserve">Market value of projected production</t>
  </si>
  <si>
    <t xml:space="preserve">Projected WAR times the market rate per win.</t>
  </si>
  <si>
    <t xml:space="preserve">Surplus value, present value</t>
  </si>
  <si>
    <t xml:space="preserve">Value produced minus salary paid. This is the number that makes every young star's deal look like a steal.</t>
  </si>
  <si>
    <t xml:space="preserve">Question B: was the extension itself a good decision?</t>
  </si>
  <si>
    <t xml:space="preserve">Cost with no extension, present value</t>
  </si>
  <si>
    <t xml:space="preserve">What the Cubs would have paid anyway through the control years, plus a free agent deal for 2031 and 2032.</t>
  </si>
  <si>
    <t xml:space="preserve">Savings from the extension, present value</t>
  </si>
  <si>
    <t xml:space="preserve">The only number that measures the decision the front office actually made.</t>
  </si>
  <si>
    <t xml:space="preserve">   of which the control years, 2027 to 2030</t>
  </si>
  <si>
    <t xml:space="preserve">Arbitration, where most of the value turns out to be.</t>
  </si>
  <si>
    <t xml:space="preserve">   of which the bought out free agent years, 2031 and 2032</t>
  </si>
  <si>
    <t xml:space="preserve">The part every write-up leads with.</t>
  </si>
  <si>
    <t xml:space="preserve">The gap between line 11 and line 15 is the whole argument.</t>
  </si>
  <si>
    <t xml:space="preserve">Both are correct. The first says he is producing far more than he is paid, which is true of nearly every pre-free-agency star and says little about the front office. The second says what the Cubs gained by signing in March 2026 rather than waiting, which is the decision under review.</t>
  </si>
  <si>
    <t xml:space="preserve">Not modeled: the MVP escalators on the 2031 and 2032 bases, which run off 2027 through 2031 voting only, so the 2026 award triggers nothing. The $1 million assignment bonus on any trade. The pre-arbitration bonus pool. Off-field revenue. And the largest omission of all, a salary cap, which would reset both the market rate per win and the free agent counterfactual at once.</t>
  </si>
  <si>
    <t xml:space="preserve">Pete Crow-Armstrong extension model  |  assumptions</t>
  </si>
  <si>
    <t xml:space="preserve">Blue cells are inputs. Change them and every other tab recalculates. Yellow marks the three that move the answer most.</t>
  </si>
  <si>
    <t xml:space="preserve">Contract facts (do not change)</t>
  </si>
  <si>
    <t xml:space="preserve">Extension guarantee ($M)</t>
  </si>
  <si>
    <t xml:space="preserve">AP and MLB.com, March 24 2026. Six years, 2027 through 2032, no club options.</t>
  </si>
  <si>
    <t xml:space="preserve">Signing bonus ($M)</t>
  </si>
  <si>
    <t xml:space="preserve">Payable by May 15 2026.</t>
  </si>
  <si>
    <t xml:space="preserve">Service time at signing</t>
  </si>
  <si>
    <t xml:space="preserve">Spotrac / Baseball Reference, January 2026. Free agency would have followed the 2030 season.</t>
  </si>
  <si>
    <t xml:space="preserve">Base year for discounting</t>
  </si>
  <si>
    <t xml:space="preserve">All present values are stated as of 2026.</t>
  </si>
  <si>
    <t xml:space="preserve">Performance and market assumptions</t>
  </si>
  <si>
    <t xml:space="preserve">True talent WAR entering 2027 (age 25)</t>
  </si>
  <si>
    <t xml:space="preserve">Regressed estimate, not the 2026 result. A 10.0 WAR season regresses heavily. Single most important input.</t>
  </si>
  <si>
    <t xml:space="preserve">Market rate per win in 2027 ($M)</t>
  </si>
  <si>
    <t xml:space="preserve">Open market clearing price for one win. Industry estimates have run $8M to $10M. Top of market runs higher.</t>
  </si>
  <si>
    <t xml:space="preserve">Annual inflation in $ per win</t>
  </si>
  <si>
    <t xml:space="preserve">Applied from 2027 forward.</t>
  </si>
  <si>
    <t xml:space="preserve">Discount rate</t>
  </si>
  <si>
    <t xml:space="preserve">Club cost of capital. Backloaded money is worth less.</t>
  </si>
  <si>
    <t xml:space="preserve">2027 pre-arbitration salary, no extension ($M)</t>
  </si>
  <si>
    <t xml:space="preserve">Renewal near the minimum. Excludes the pre-arbitration bonus pool, whose survival past the CBA is unknown.</t>
  </si>
  <si>
    <t xml:space="preserve">Arbitration 1 share of open market value</t>
  </si>
  <si>
    <t xml:space="preserve">2028. Conventional 25/40/60 arbitration ladder.</t>
  </si>
  <si>
    <t xml:space="preserve">Arbitration 2 share of open market value</t>
  </si>
  <si>
    <t xml:space="preserve">2029.</t>
  </si>
  <si>
    <t xml:space="preserve">Arbitration 3 share of open market value</t>
  </si>
  <si>
    <t xml:space="preserve">2030.</t>
  </si>
  <si>
    <t xml:space="preserve">Hypothetical free agent deal, length in years</t>
  </si>
  <si>
    <t xml:space="preserve">Signed after 2030, covering ages 29 through 36.</t>
  </si>
  <si>
    <t xml:space="preserve">Share of projected value an elite free agent captures</t>
  </si>
  <si>
    <t xml:space="preserve">1.00 means he signs for exactly his projected value. Above 1.00 means the top of the market pays a premium.</t>
  </si>
  <si>
    <t xml:space="preserve">Aging curve: WAR added to true talent, by age</t>
  </si>
  <si>
    <t xml:space="preserve">Peak at 26 and 27, then decline. Steeper than a slugger's curve because this player's value leans on defense and speed.</t>
  </si>
  <si>
    <t xml:space="preserve">Age</t>
  </si>
  <si>
    <t xml:space="preserve">Delta WAR</t>
  </si>
  <si>
    <t xml:space="preserve">Counterfactual free agent contract he would have signed after 2030</t>
  </si>
  <si>
    <t xml:space="preserve">Absent the extension he reaches free agency at 28. A long deal's annual value is set by the whole term, including the decline years, so the 2031 and 2032 counterfactual is this deal's average annual value, not a single season's worth.</t>
  </si>
  <si>
    <t xml:space="preserve">Year</t>
  </si>
  <si>
    <t xml:space="preserve">Projected WAR</t>
  </si>
  <si>
    <t xml:space="preserve">$ per win ($M)</t>
  </si>
  <si>
    <t xml:space="preserve">Market value ($M)</t>
  </si>
  <si>
    <t xml:space="preserve">Term (years)</t>
  </si>
  <si>
    <t xml:space="preserve">Total projected value over the term ($M)</t>
  </si>
  <si>
    <t xml:space="preserve">Share of that value actually captured</t>
  </si>
  <si>
    <t xml:space="preserve">Average annual value used for 2031 and 2032 ($M)</t>
  </si>
  <si>
    <t xml:space="preserve">Note: the term only runs eight years because WAR goes to zero on this curve. Lengthen it and the average annual value falls.</t>
  </si>
  <si>
    <t xml:space="preserve">Year by year build, 2027 through 2032</t>
  </si>
  <si>
    <t xml:space="preserve">Surplus value asks what he produced against what he was paid. Savings asks what the extension changed against the control years the Cubs already held. They are different questions with different answers.</t>
  </si>
  <si>
    <t xml:space="preserve">Status</t>
  </si>
  <si>
    <t xml:space="preserve">Salary paid ($M)</t>
  </si>
  <si>
    <t xml:space="preserve">Cost with no extension ($M)</t>
  </si>
  <si>
    <t xml:space="preserve">Surplus value ($M)</t>
  </si>
  <si>
    <t xml:space="preserve">Savings vs no extension ($M)</t>
  </si>
  <si>
    <t xml:space="preserve">Discount factor</t>
  </si>
  <si>
    <t xml:space="preserve">PV of surplus ($M)</t>
  </si>
  <si>
    <t xml:space="preserve">PV of savings ($M)</t>
  </si>
  <si>
    <t xml:space="preserve">pre-arb</t>
  </si>
  <si>
    <t xml:space="preserve">arb1</t>
  </si>
  <si>
    <t xml:space="preserve">arb2</t>
  </si>
  <si>
    <t xml:space="preserve">arb3</t>
  </si>
  <si>
    <t xml:space="preserve">free agent</t>
  </si>
  <si>
    <t xml:space="preserve">Total</t>
  </si>
  <si>
    <t xml:space="preserve">Signing bonus paid in 2026 ($M), an extra cost that exists only because the extension exists</t>
  </si>
</sst>
</file>

<file path=xl/styles.xml><?xml version="1.0" encoding="utf-8"?>
<styleSheet xmlns="http://schemas.openxmlformats.org/spreadsheetml/2006/main">
  <numFmts count="7">
    <numFmt numFmtId="164" formatCode="General"/>
    <numFmt numFmtId="165" formatCode="\$#,##0.0;&quot;($&quot;#,##0.0\);\-"/>
    <numFmt numFmtId="166" formatCode="0.000"/>
    <numFmt numFmtId="167" formatCode="0"/>
    <numFmt numFmtId="168" formatCode="0.00"/>
    <numFmt numFmtId="169" formatCode="0.0%"/>
    <numFmt numFmtId="170" formatCode="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8"/>
      <color rgb="FF595959"/>
      <name val="Arial"/>
      <family val="0"/>
      <charset val="1"/>
    </font>
    <font>
      <b val="true"/>
      <sz val="10"/>
      <name val="Arial"/>
      <family val="0"/>
      <charset val="1"/>
    </font>
    <font>
      <sz val="10"/>
      <color rgb="FF000000"/>
      <name val="Arial"/>
      <family val="0"/>
      <charset val="1"/>
    </font>
    <font>
      <sz val="10"/>
      <color rgb="FF008000"/>
      <name val="Arial"/>
      <family val="0"/>
      <charset val="1"/>
    </font>
    <font>
      <b val="true"/>
      <sz val="10"/>
      <color rgb="FF008000"/>
      <name val="Arial"/>
      <family val="0"/>
      <charset val="1"/>
    </font>
    <font>
      <sz val="10"/>
      <color rgb="FF0000FF"/>
      <name val="Arial"/>
      <family val="0"/>
      <charset val="1"/>
    </font>
    <font>
      <b val="true"/>
      <sz val="11"/>
      <color rgb="FFFFFFFF"/>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0E3386"/>
        <bgColor rgb="FF333399"/>
      </patternFill>
    </fill>
    <fill>
      <patternFill patternType="solid">
        <fgColor rgb="FFF2F2F2"/>
        <bgColor rgb="FFFFFFFF"/>
      </patternFill>
    </fill>
  </fills>
  <borders count="2">
    <border diagonalUp="false" diagonalDown="false">
      <left/>
      <right/>
      <top/>
      <bottom/>
      <diagonal/>
    </border>
    <border diagonalUp="false" diagonalDown="false">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10" fillId="2" borderId="0" xfId="0" applyFont="true" applyBorder="false" applyAlignment="false" applyProtection="false">
      <alignment horizontal="general" vertical="bottom" textRotation="0" wrapText="false" indent="0" shrinkToFit="false"/>
      <protection locked="true" hidden="false"/>
    </xf>
    <xf numFmtId="165" fontId="10" fillId="2"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9" fontId="10" fillId="2"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center" vertical="bottom" textRotation="0" wrapText="tru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5" fontId="6" fillId="4"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center" vertical="center"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E338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f aca="false">SUM(Model!G5:G10)+Assumptions!B6</f>
        <v>115</v>
      </c>
      <c r="C5" s="2" t="s">
        <v>4</v>
      </c>
    </row>
    <row r="6" customFormat="false" ht="15" hidden="false" customHeight="false" outlineLevel="0" collapsed="false">
      <c r="A6" s="4" t="s">
        <v>5</v>
      </c>
      <c r="B6" s="5" t="n">
        <f aca="false">SUMPRODUCT(Model!G5:G10,Model!K5:K10)+Assumptions!B6</f>
        <v>91.1385541585488</v>
      </c>
      <c r="C6" s="2" t="s">
        <v>6</v>
      </c>
    </row>
    <row r="7" customFormat="false" ht="15" hidden="false" customHeight="false" outlineLevel="0" collapsed="false">
      <c r="A7" s="4" t="s">
        <v>7</v>
      </c>
      <c r="B7" s="5" t="n">
        <f aca="false">SUM(Model!G5:G10)/6+Assumptions!B6/6</f>
        <v>19.1666666666667</v>
      </c>
      <c r="C7" s="2" t="s">
        <v>8</v>
      </c>
    </row>
    <row r="9" customFormat="false" ht="15" hidden="false" customHeight="false" outlineLevel="0" collapsed="false">
      <c r="A9" s="3" t="s">
        <v>9</v>
      </c>
    </row>
    <row r="10" customFormat="false" ht="15" hidden="false" customHeight="false" outlineLevel="0" collapsed="false">
      <c r="A10" s="4" t="s">
        <v>10</v>
      </c>
      <c r="B10" s="5" t="n">
        <f aca="false">SUM(Model!F5:F10)</f>
        <v>361.36639509237</v>
      </c>
      <c r="C10" s="2" t="s">
        <v>11</v>
      </c>
    </row>
    <row r="11" customFormat="false" ht="15" hidden="false" customHeight="false" outlineLevel="0" collapsed="false">
      <c r="A11" s="3" t="s">
        <v>12</v>
      </c>
      <c r="B11" s="6" t="n">
        <f aca="false">SUM(Model!L5:L10)-Assumptions!B6</f>
        <v>205.935208889488</v>
      </c>
      <c r="C11" s="2" t="s">
        <v>13</v>
      </c>
    </row>
    <row r="13" customFormat="false" ht="15" hidden="false" customHeight="false" outlineLevel="0" collapsed="false">
      <c r="A13" s="3" t="s">
        <v>14</v>
      </c>
    </row>
    <row r="14" customFormat="false" ht="15" hidden="false" customHeight="false" outlineLevel="0" collapsed="false">
      <c r="A14" s="4" t="s">
        <v>15</v>
      </c>
      <c r="B14" s="5" t="n">
        <f aca="false">SUMPRODUCT(Model!H5:H10,Model!K5:K10)</f>
        <v>119.689550304566</v>
      </c>
      <c r="C14" s="2" t="s">
        <v>16</v>
      </c>
    </row>
    <row r="15" customFormat="false" ht="15" hidden="false" customHeight="false" outlineLevel="0" collapsed="false">
      <c r="A15" s="3" t="s">
        <v>17</v>
      </c>
      <c r="B15" s="6" t="n">
        <f aca="false">SUM(Model!M5:M10)-Assumptions!B6</f>
        <v>28.5509961460167</v>
      </c>
      <c r="C15" s="2" t="s">
        <v>18</v>
      </c>
    </row>
    <row r="16" customFormat="false" ht="15" hidden="false" customHeight="false" outlineLevel="0" collapsed="false">
      <c r="A16" s="4" t="s">
        <v>19</v>
      </c>
      <c r="B16" s="5" t="n">
        <f aca="false">SUM(Model!M5:M8)-Assumptions!B6</f>
        <v>19.1156048027997</v>
      </c>
      <c r="C16" s="2" t="s">
        <v>20</v>
      </c>
    </row>
    <row r="17" customFormat="false" ht="15" hidden="false" customHeight="false" outlineLevel="0" collapsed="false">
      <c r="A17" s="4" t="s">
        <v>21</v>
      </c>
      <c r="B17" s="5" t="n">
        <f aca="false">SUM(Model!M9:M10)</f>
        <v>9.43539134321701</v>
      </c>
      <c r="C17" s="2" t="s">
        <v>22</v>
      </c>
    </row>
    <row r="19" customFormat="false" ht="15" hidden="false" customHeight="false" outlineLevel="0" collapsed="false">
      <c r="A19" s="3" t="s">
        <v>23</v>
      </c>
    </row>
    <row r="20" customFormat="false" ht="15" hidden="false" customHeight="false" outlineLevel="0" collapsed="false">
      <c r="A20" s="2" t="s">
        <v>24</v>
      </c>
    </row>
    <row r="22" customFormat="false" ht="15" hidden="false" customHeight="false" outlineLevel="0" collapsed="false">
      <c r="A22"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3"/>
    <col collapsed="false" customWidth="true" hidden="false" outlineLevel="0" max="3" min="3" style="0" width="105"/>
  </cols>
  <sheetData>
    <row r="1" customFormat="false" ht="17.35" hidden="false" customHeight="false" outlineLevel="0" collapsed="false">
      <c r="A1" s="1" t="s">
        <v>26</v>
      </c>
    </row>
    <row r="2" customFormat="false" ht="15" hidden="false" customHeight="false" outlineLevel="0" collapsed="false">
      <c r="A2" s="2" t="s">
        <v>27</v>
      </c>
    </row>
    <row r="4" customFormat="false" ht="15" hidden="false" customHeight="false" outlineLevel="0" collapsed="false">
      <c r="A4" s="3" t="s">
        <v>28</v>
      </c>
    </row>
    <row r="5" customFormat="false" ht="15" hidden="false" customHeight="false" outlineLevel="0" collapsed="false">
      <c r="A5" s="4" t="s">
        <v>29</v>
      </c>
      <c r="B5" s="7" t="n">
        <v>115</v>
      </c>
      <c r="C5" s="2" t="s">
        <v>30</v>
      </c>
    </row>
    <row r="6" customFormat="false" ht="15" hidden="false" customHeight="false" outlineLevel="0" collapsed="false">
      <c r="A6" s="4" t="s">
        <v>31</v>
      </c>
      <c r="B6" s="7" t="n">
        <v>5</v>
      </c>
      <c r="C6" s="2" t="s">
        <v>32</v>
      </c>
    </row>
    <row r="7" customFormat="false" ht="15" hidden="false" customHeight="false" outlineLevel="0" collapsed="false">
      <c r="A7" s="4" t="s">
        <v>33</v>
      </c>
      <c r="B7" s="8" t="n">
        <v>1.17</v>
      </c>
      <c r="C7" s="2" t="s">
        <v>34</v>
      </c>
    </row>
    <row r="8" customFormat="false" ht="15" hidden="false" customHeight="false" outlineLevel="0" collapsed="false">
      <c r="A8" s="4" t="s">
        <v>35</v>
      </c>
      <c r="B8" s="9" t="n">
        <v>2026</v>
      </c>
      <c r="C8" s="2" t="s">
        <v>36</v>
      </c>
    </row>
    <row r="10" customFormat="false" ht="15" hidden="false" customHeight="false" outlineLevel="0" collapsed="false">
      <c r="A10" s="3" t="s">
        <v>37</v>
      </c>
    </row>
    <row r="11" customFormat="false" ht="15" hidden="false" customHeight="false" outlineLevel="0" collapsed="false">
      <c r="A11" s="4" t="s">
        <v>38</v>
      </c>
      <c r="B11" s="10" t="n">
        <v>6.5</v>
      </c>
      <c r="C11" s="2" t="s">
        <v>39</v>
      </c>
    </row>
    <row r="12" customFormat="false" ht="15" hidden="false" customHeight="false" outlineLevel="0" collapsed="false">
      <c r="A12" s="4" t="s">
        <v>40</v>
      </c>
      <c r="B12" s="11" t="n">
        <v>9</v>
      </c>
      <c r="C12" s="2" t="s">
        <v>41</v>
      </c>
    </row>
    <row r="13" customFormat="false" ht="15" hidden="false" customHeight="false" outlineLevel="0" collapsed="false">
      <c r="A13" s="4" t="s">
        <v>42</v>
      </c>
      <c r="B13" s="12" t="n">
        <v>0.03</v>
      </c>
      <c r="C13" s="2" t="s">
        <v>43</v>
      </c>
    </row>
    <row r="14" customFormat="false" ht="15" hidden="false" customHeight="false" outlineLevel="0" collapsed="false">
      <c r="A14" s="4" t="s">
        <v>44</v>
      </c>
      <c r="B14" s="12" t="n">
        <v>0.06</v>
      </c>
      <c r="C14" s="2" t="s">
        <v>45</v>
      </c>
    </row>
    <row r="15" customFormat="false" ht="15" hidden="false" customHeight="false" outlineLevel="0" collapsed="false">
      <c r="A15" s="4" t="s">
        <v>46</v>
      </c>
      <c r="B15" s="7" t="n">
        <v>1</v>
      </c>
      <c r="C15" s="2" t="s">
        <v>47</v>
      </c>
    </row>
    <row r="16" customFormat="false" ht="15" hidden="false" customHeight="false" outlineLevel="0" collapsed="false">
      <c r="A16" s="4" t="s">
        <v>48</v>
      </c>
      <c r="B16" s="12" t="n">
        <v>0.25</v>
      </c>
      <c r="C16" s="2" t="s">
        <v>49</v>
      </c>
    </row>
    <row r="17" customFormat="false" ht="15" hidden="false" customHeight="false" outlineLevel="0" collapsed="false">
      <c r="A17" s="4" t="s">
        <v>50</v>
      </c>
      <c r="B17" s="12" t="n">
        <v>0.4</v>
      </c>
      <c r="C17" s="2" t="s">
        <v>51</v>
      </c>
    </row>
    <row r="18" customFormat="false" ht="15" hidden="false" customHeight="false" outlineLevel="0" collapsed="false">
      <c r="A18" s="4" t="s">
        <v>52</v>
      </c>
      <c r="B18" s="12" t="n">
        <v>0.6</v>
      </c>
      <c r="C18" s="2" t="s">
        <v>53</v>
      </c>
    </row>
    <row r="19" customFormat="false" ht="15" hidden="false" customHeight="false" outlineLevel="0" collapsed="false">
      <c r="A19" s="4" t="s">
        <v>54</v>
      </c>
      <c r="B19" s="9" t="n">
        <v>8</v>
      </c>
      <c r="C19" s="2" t="s">
        <v>55</v>
      </c>
    </row>
    <row r="20" customFormat="false" ht="15" hidden="false" customHeight="false" outlineLevel="0" collapsed="false">
      <c r="A20" s="4" t="s">
        <v>56</v>
      </c>
      <c r="B20" s="13" t="n">
        <v>1</v>
      </c>
      <c r="C20" s="2" t="s">
        <v>57</v>
      </c>
    </row>
    <row r="22" customFormat="false" ht="15" hidden="false" customHeight="false" outlineLevel="0" collapsed="false">
      <c r="A22" s="3" t="s">
        <v>58</v>
      </c>
      <c r="C22" s="2" t="s">
        <v>59</v>
      </c>
    </row>
    <row r="23" customFormat="false" ht="15" hidden="false" customHeight="false" outlineLevel="0" collapsed="false">
      <c r="A23" s="3" t="s">
        <v>60</v>
      </c>
      <c r="B23" s="3" t="s">
        <v>61</v>
      </c>
    </row>
    <row r="24" customFormat="false" ht="15" hidden="false" customHeight="false" outlineLevel="0" collapsed="false">
      <c r="A24" s="14" t="n">
        <v>25</v>
      </c>
      <c r="B24" s="15" t="n">
        <v>0</v>
      </c>
    </row>
    <row r="25" customFormat="false" ht="15" hidden="false" customHeight="false" outlineLevel="0" collapsed="false">
      <c r="A25" s="14" t="n">
        <v>26</v>
      </c>
      <c r="B25" s="15" t="n">
        <v>0.3</v>
      </c>
    </row>
    <row r="26" customFormat="false" ht="15" hidden="false" customHeight="false" outlineLevel="0" collapsed="false">
      <c r="A26" s="14" t="n">
        <v>27</v>
      </c>
      <c r="B26" s="15" t="n">
        <v>0.3</v>
      </c>
    </row>
    <row r="27" customFormat="false" ht="15" hidden="false" customHeight="false" outlineLevel="0" collapsed="false">
      <c r="A27" s="14" t="n">
        <v>28</v>
      </c>
      <c r="B27" s="15" t="n">
        <v>-0.1</v>
      </c>
    </row>
    <row r="28" customFormat="false" ht="15" hidden="false" customHeight="false" outlineLevel="0" collapsed="false">
      <c r="A28" s="14" t="n">
        <v>29</v>
      </c>
      <c r="B28" s="15" t="n">
        <v>-0.7</v>
      </c>
    </row>
    <row r="29" customFormat="false" ht="15" hidden="false" customHeight="false" outlineLevel="0" collapsed="false">
      <c r="A29" s="14" t="n">
        <v>30</v>
      </c>
      <c r="B29" s="15" t="n">
        <v>-1.4</v>
      </c>
    </row>
    <row r="30" customFormat="false" ht="15" hidden="false" customHeight="false" outlineLevel="0" collapsed="false">
      <c r="A30" s="14" t="n">
        <v>31</v>
      </c>
      <c r="B30" s="15" t="n">
        <v>-2.1</v>
      </c>
    </row>
    <row r="31" customFormat="false" ht="15" hidden="false" customHeight="false" outlineLevel="0" collapsed="false">
      <c r="A31" s="14" t="n">
        <v>32</v>
      </c>
      <c r="B31" s="15" t="n">
        <v>-2.8</v>
      </c>
    </row>
    <row r="32" customFormat="false" ht="15" hidden="false" customHeight="false" outlineLevel="0" collapsed="false">
      <c r="A32" s="14" t="n">
        <v>33</v>
      </c>
      <c r="B32" s="15" t="n">
        <v>-3.5</v>
      </c>
    </row>
    <row r="33" customFormat="false" ht="15" hidden="false" customHeight="false" outlineLevel="0" collapsed="false">
      <c r="A33" s="14" t="n">
        <v>34</v>
      </c>
      <c r="B33" s="15" t="n">
        <v>-4.2</v>
      </c>
    </row>
    <row r="34" customFormat="false" ht="15" hidden="false" customHeight="false" outlineLevel="0" collapsed="false">
      <c r="A34" s="14" t="n">
        <v>35</v>
      </c>
      <c r="B34" s="15" t="n">
        <v>-4.9</v>
      </c>
    </row>
    <row r="35" customFormat="false" ht="15" hidden="false" customHeight="false" outlineLevel="0" collapsed="false">
      <c r="A35" s="14" t="n">
        <v>36</v>
      </c>
      <c r="B35" s="15" t="n">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17"/>
  </cols>
  <sheetData>
    <row r="1" customFormat="false" ht="17.35" hidden="false" customHeight="false" outlineLevel="0" collapsed="false">
      <c r="A1" s="1" t="s">
        <v>62</v>
      </c>
    </row>
    <row r="2" customFormat="false" ht="15" hidden="false" customHeight="false" outlineLevel="0" collapsed="false">
      <c r="A2" s="2" t="s">
        <v>63</v>
      </c>
    </row>
    <row r="4" customFormat="false" ht="26.85" hidden="false" customHeight="false" outlineLevel="0" collapsed="false">
      <c r="A4" s="16" t="s">
        <v>64</v>
      </c>
      <c r="B4" s="16" t="s">
        <v>60</v>
      </c>
      <c r="C4" s="16" t="s">
        <v>65</v>
      </c>
      <c r="D4" s="16" t="s">
        <v>66</v>
      </c>
      <c r="E4" s="16" t="s">
        <v>67</v>
      </c>
    </row>
    <row r="5" customFormat="false" ht="15" hidden="false" customHeight="false" outlineLevel="0" collapsed="false">
      <c r="A5" s="14" t="n">
        <v>2031</v>
      </c>
      <c r="B5" s="14" t="n">
        <f aca="false">29+A5-2031</f>
        <v>29</v>
      </c>
      <c r="C5" s="17" t="n">
        <f aca="false">MAX(0,Assumptions!$B$11+INDEX(Assumptions!$A$24:$B$35,MATCH(B5,Assumptions!$A$24:$A$35,0),2))</f>
        <v>5.8</v>
      </c>
      <c r="D5" s="18" t="n">
        <f aca="false">Assumptions!$B$12*(1+Assumptions!$B$13)^(A5-2027)</f>
        <v>10.12957929</v>
      </c>
      <c r="E5" s="18" t="n">
        <f aca="false">C5*D5</f>
        <v>58.751559882</v>
      </c>
    </row>
    <row r="6" customFormat="false" ht="15" hidden="false" customHeight="false" outlineLevel="0" collapsed="false">
      <c r="A6" s="14" t="n">
        <v>2032</v>
      </c>
      <c r="B6" s="14" t="n">
        <f aca="false">29+A6-2031</f>
        <v>30</v>
      </c>
      <c r="C6" s="17" t="n">
        <f aca="false">MAX(0,Assumptions!$B$11+INDEX(Assumptions!$A$24:$B$35,MATCH(B6,Assumptions!$A$24:$A$35,0),2))</f>
        <v>5.1</v>
      </c>
      <c r="D6" s="18" t="n">
        <f aca="false">Assumptions!$B$12*(1+Assumptions!$B$13)^(A6-2027)</f>
        <v>10.4334666687</v>
      </c>
      <c r="E6" s="18" t="n">
        <f aca="false">C6*D6</f>
        <v>53.21068001037</v>
      </c>
    </row>
    <row r="7" customFormat="false" ht="15" hidden="false" customHeight="false" outlineLevel="0" collapsed="false">
      <c r="A7" s="14" t="n">
        <v>2033</v>
      </c>
      <c r="B7" s="14" t="n">
        <f aca="false">29+A7-2031</f>
        <v>31</v>
      </c>
      <c r="C7" s="17" t="n">
        <f aca="false">MAX(0,Assumptions!$B$11+INDEX(Assumptions!$A$24:$B$35,MATCH(B7,Assumptions!$A$24:$A$35,0),2))</f>
        <v>4.4</v>
      </c>
      <c r="D7" s="18" t="n">
        <f aca="false">Assumptions!$B$12*(1+Assumptions!$B$13)^(A7-2027)</f>
        <v>10.746470668761</v>
      </c>
      <c r="E7" s="18" t="n">
        <f aca="false">C7*D7</f>
        <v>47.2844709425484</v>
      </c>
    </row>
    <row r="8" customFormat="false" ht="15" hidden="false" customHeight="false" outlineLevel="0" collapsed="false">
      <c r="A8" s="14" t="n">
        <v>2034</v>
      </c>
      <c r="B8" s="14" t="n">
        <f aca="false">29+A8-2031</f>
        <v>32</v>
      </c>
      <c r="C8" s="17" t="n">
        <f aca="false">MAX(0,Assumptions!$B$11+INDEX(Assumptions!$A$24:$B$35,MATCH(B8,Assumptions!$A$24:$A$35,0),2))</f>
        <v>3.7</v>
      </c>
      <c r="D8" s="18" t="n">
        <f aca="false">Assumptions!$B$12*(1+Assumptions!$B$13)^(A8-2027)</f>
        <v>11.0688647888238</v>
      </c>
      <c r="E8" s="18" t="n">
        <f aca="false">C8*D8</f>
        <v>40.9547997186482</v>
      </c>
    </row>
    <row r="9" customFormat="false" ht="15" hidden="false" customHeight="false" outlineLevel="0" collapsed="false">
      <c r="A9" s="14" t="n">
        <v>2035</v>
      </c>
      <c r="B9" s="14" t="n">
        <f aca="false">29+A9-2031</f>
        <v>33</v>
      </c>
      <c r="C9" s="17" t="n">
        <f aca="false">MAX(0,Assumptions!$B$11+INDEX(Assumptions!$A$24:$B$35,MATCH(B9,Assumptions!$A$24:$A$35,0),2))</f>
        <v>3</v>
      </c>
      <c r="D9" s="18" t="n">
        <f aca="false">Assumptions!$B$12*(1+Assumptions!$B$13)^(A9-2027)</f>
        <v>11.4009307324885</v>
      </c>
      <c r="E9" s="18" t="n">
        <f aca="false">C9*D9</f>
        <v>34.2027921974656</v>
      </c>
    </row>
    <row r="10" customFormat="false" ht="15" hidden="false" customHeight="false" outlineLevel="0" collapsed="false">
      <c r="A10" s="14" t="n">
        <v>2036</v>
      </c>
      <c r="B10" s="14" t="n">
        <f aca="false">29+A10-2031</f>
        <v>34</v>
      </c>
      <c r="C10" s="17" t="n">
        <f aca="false">MAX(0,Assumptions!$B$11+INDEX(Assumptions!$A$24:$B$35,MATCH(B10,Assumptions!$A$24:$A$35,0),2))</f>
        <v>2.3</v>
      </c>
      <c r="D10" s="18" t="n">
        <f aca="false">Assumptions!$B$12*(1+Assumptions!$B$13)^(A10-2027)</f>
        <v>11.7429586544632</v>
      </c>
      <c r="E10" s="18" t="n">
        <f aca="false">C10*D10</f>
        <v>27.0088049052654</v>
      </c>
    </row>
    <row r="11" customFormat="false" ht="15" hidden="false" customHeight="false" outlineLevel="0" collapsed="false">
      <c r="A11" s="14" t="n">
        <v>2037</v>
      </c>
      <c r="B11" s="14" t="n">
        <f aca="false">29+A11-2031</f>
        <v>35</v>
      </c>
      <c r="C11" s="17" t="n">
        <f aca="false">MAX(0,Assumptions!$B$11+INDEX(Assumptions!$A$24:$B$35,MATCH(B11,Assumptions!$A$24:$A$35,0),2))</f>
        <v>1.6</v>
      </c>
      <c r="D11" s="18" t="n">
        <f aca="false">Assumptions!$B$12*(1+Assumptions!$B$13)^(A11-2027)</f>
        <v>12.0952474140971</v>
      </c>
      <c r="E11" s="18" t="n">
        <f aca="false">C11*D11</f>
        <v>19.3523958625554</v>
      </c>
    </row>
    <row r="12" customFormat="false" ht="15" hidden="false" customHeight="false" outlineLevel="0" collapsed="false">
      <c r="A12" s="14" t="n">
        <v>2038</v>
      </c>
      <c r="B12" s="14" t="n">
        <f aca="false">29+A12-2031</f>
        <v>36</v>
      </c>
      <c r="C12" s="17" t="n">
        <f aca="false">MAX(0,Assumptions!$B$11+INDEX(Assumptions!$A$24:$B$35,MATCH(B12,Assumptions!$A$24:$A$35,0),2))</f>
        <v>0.9</v>
      </c>
      <c r="D12" s="18" t="n">
        <f aca="false">Assumptions!$B$12*(1+Assumptions!$B$13)^(A12-2027)</f>
        <v>12.45810483652</v>
      </c>
      <c r="E12" s="18" t="n">
        <f aca="false">C12*D12</f>
        <v>11.212294352868</v>
      </c>
    </row>
    <row r="13" customFormat="false" ht="15" hidden="false" customHeight="false" outlineLevel="0" collapsed="false">
      <c r="A13" s="0" t="s">
        <v>68</v>
      </c>
      <c r="B13" s="19" t="n">
        <f aca="false">Assumptions!$B$19</f>
        <v>8</v>
      </c>
    </row>
    <row r="14" customFormat="false" ht="15" hidden="false" customHeight="false" outlineLevel="0" collapsed="false">
      <c r="A14" s="0" t="s">
        <v>69</v>
      </c>
      <c r="B14" s="20" t="n">
        <f aca="false">SUM(E5:E12)</f>
        <v>291.977797871721</v>
      </c>
    </row>
    <row r="15" customFormat="false" ht="15" hidden="false" customHeight="false" outlineLevel="0" collapsed="false">
      <c r="A15" s="0" t="s">
        <v>70</v>
      </c>
      <c r="B15" s="21" t="n">
        <f aca="false">Assumptions!$B$20</f>
        <v>1</v>
      </c>
    </row>
    <row r="16" customFormat="false" ht="15" hidden="false" customHeight="false" outlineLevel="0" collapsed="false">
      <c r="A16" s="3" t="s">
        <v>71</v>
      </c>
      <c r="B16" s="22" t="n">
        <f aca="false">B14*B15/B13</f>
        <v>36.4972247339651</v>
      </c>
    </row>
    <row r="17" customFormat="false" ht="15" hidden="false" customHeight="false" outlineLevel="0" collapsed="false">
      <c r="A17" s="2"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13"/>
    <col collapsed="false" customWidth="true" hidden="false" outlineLevel="0" max="13" min="4" style="0" width="15"/>
  </cols>
  <sheetData>
    <row r="1" customFormat="false" ht="17.35" hidden="false" customHeight="false" outlineLevel="0" collapsed="false">
      <c r="A1" s="1" t="s">
        <v>73</v>
      </c>
    </row>
    <row r="2" customFormat="false" ht="15" hidden="false" customHeight="false" outlineLevel="0" collapsed="false">
      <c r="A2" s="2" t="s">
        <v>74</v>
      </c>
    </row>
    <row r="4" customFormat="false" ht="43.5" hidden="false" customHeight="true" outlineLevel="0" collapsed="false">
      <c r="A4" s="23" t="s">
        <v>64</v>
      </c>
      <c r="B4" s="23" t="s">
        <v>60</v>
      </c>
      <c r="C4" s="23" t="s">
        <v>75</v>
      </c>
      <c r="D4" s="23" t="s">
        <v>65</v>
      </c>
      <c r="E4" s="23" t="s">
        <v>66</v>
      </c>
      <c r="F4" s="23" t="s">
        <v>67</v>
      </c>
      <c r="G4" s="23" t="s">
        <v>76</v>
      </c>
      <c r="H4" s="23" t="s">
        <v>77</v>
      </c>
      <c r="I4" s="23" t="s">
        <v>78</v>
      </c>
      <c r="J4" s="23" t="s">
        <v>79</v>
      </c>
      <c r="K4" s="23" t="s">
        <v>80</v>
      </c>
      <c r="L4" s="23" t="s">
        <v>81</v>
      </c>
      <c r="M4" s="23" t="s">
        <v>82</v>
      </c>
    </row>
    <row r="5" customFormat="false" ht="15" hidden="false" customHeight="false" outlineLevel="0" collapsed="false">
      <c r="A5" s="14" t="n">
        <v>2027</v>
      </c>
      <c r="B5" s="14" t="n">
        <f aca="false">25+A5-2027</f>
        <v>25</v>
      </c>
      <c r="C5" s="4" t="s">
        <v>83</v>
      </c>
      <c r="D5" s="17" t="n">
        <f aca="false">MAX(0,Assumptions!$B$11+INDEX(Assumptions!$A$24:$B$35,MATCH(B5,Assumptions!$A$24:$A$35,0),2))</f>
        <v>6.5</v>
      </c>
      <c r="E5" s="18" t="n">
        <f aca="false">Assumptions!$B$12*(1+Assumptions!$B$13)^(A5-2027)</f>
        <v>9</v>
      </c>
      <c r="F5" s="18" t="n">
        <f aca="false">D5*E5</f>
        <v>58.5</v>
      </c>
      <c r="G5" s="7" t="n">
        <v>10</v>
      </c>
      <c r="H5" s="18" t="n">
        <f aca="false">IF(C5="pre-arb",Assumptions!$B$15,IF(C5="free agent",'FA deal'!$B$16,IF(C5="arb1",Assumptions!$B$16,IF(C5="arb2",Assumptions!$B$17,Assumptions!$B$18))*F5))</f>
        <v>1</v>
      </c>
      <c r="I5" s="18" t="n">
        <f aca="false">F5-G5</f>
        <v>48.5</v>
      </c>
      <c r="J5" s="18" t="n">
        <f aca="false">H5-G5</f>
        <v>-9</v>
      </c>
      <c r="K5" s="24" t="n">
        <f aca="false">1/(1+Assumptions!$B$14)^(A5-Assumptions!$B$8)</f>
        <v>0.943396226415094</v>
      </c>
      <c r="L5" s="18" t="n">
        <f aca="false">I5*K5</f>
        <v>45.7547169811321</v>
      </c>
      <c r="M5" s="18" t="n">
        <f aca="false">J5*K5</f>
        <v>-8.49056603773585</v>
      </c>
    </row>
    <row r="6" customFormat="false" ht="15" hidden="false" customHeight="false" outlineLevel="0" collapsed="false">
      <c r="A6" s="14" t="n">
        <v>2028</v>
      </c>
      <c r="B6" s="14" t="n">
        <f aca="false">25+A6-2027</f>
        <v>26</v>
      </c>
      <c r="C6" s="4" t="s">
        <v>84</v>
      </c>
      <c r="D6" s="17" t="n">
        <f aca="false">MAX(0,Assumptions!$B$11+INDEX(Assumptions!$A$24:$B$35,MATCH(B6,Assumptions!$A$24:$A$35,0),2))</f>
        <v>6.8</v>
      </c>
      <c r="E6" s="18" t="n">
        <f aca="false">Assumptions!$B$12*(1+Assumptions!$B$13)^(A6-2027)</f>
        <v>9.27</v>
      </c>
      <c r="F6" s="18" t="n">
        <f aca="false">D6*E6</f>
        <v>63.036</v>
      </c>
      <c r="G6" s="7" t="n">
        <v>10</v>
      </c>
      <c r="H6" s="18" t="n">
        <f aca="false">IF(C6="pre-arb",Assumptions!$B$15,IF(C6="free agent",'FA deal'!$B$16,IF(C6="arb1",Assumptions!$B$16,IF(C6="arb2",Assumptions!$B$17,Assumptions!$B$18))*F6))</f>
        <v>15.759</v>
      </c>
      <c r="I6" s="18" t="n">
        <f aca="false">F6-G6</f>
        <v>53.036</v>
      </c>
      <c r="J6" s="18" t="n">
        <f aca="false">H6-G6</f>
        <v>5.759</v>
      </c>
      <c r="K6" s="24" t="n">
        <f aca="false">1/(1+Assumptions!$B$14)^(A6-Assumptions!$B$8)</f>
        <v>0.88999644001424</v>
      </c>
      <c r="L6" s="18" t="n">
        <f aca="false">I6*K6</f>
        <v>47.2018511925952</v>
      </c>
      <c r="M6" s="18" t="n">
        <f aca="false">J6*K6</f>
        <v>5.12548949804201</v>
      </c>
    </row>
    <row r="7" customFormat="false" ht="15" hidden="false" customHeight="false" outlineLevel="0" collapsed="false">
      <c r="A7" s="14" t="n">
        <v>2029</v>
      </c>
      <c r="B7" s="14" t="n">
        <f aca="false">25+A7-2027</f>
        <v>27</v>
      </c>
      <c r="C7" s="4" t="s">
        <v>85</v>
      </c>
      <c r="D7" s="17" t="n">
        <f aca="false">MAX(0,Assumptions!$B$11+INDEX(Assumptions!$A$24:$B$35,MATCH(B7,Assumptions!$A$24:$A$35,0),2))</f>
        <v>6.8</v>
      </c>
      <c r="E7" s="18" t="n">
        <f aca="false">Assumptions!$B$12*(1+Assumptions!$B$13)^(A7-2027)</f>
        <v>9.5481</v>
      </c>
      <c r="F7" s="18" t="n">
        <f aca="false">D7*E7</f>
        <v>64.92708</v>
      </c>
      <c r="G7" s="7" t="n">
        <v>10</v>
      </c>
      <c r="H7" s="18" t="n">
        <f aca="false">IF(C7="pre-arb",Assumptions!$B$15,IF(C7="free agent",'FA deal'!$B$16,IF(C7="arb1",Assumptions!$B$16,IF(C7="arb2",Assumptions!$B$17,Assumptions!$B$18))*F7))</f>
        <v>25.970832</v>
      </c>
      <c r="I7" s="18" t="n">
        <f aca="false">F7-G7</f>
        <v>54.92708</v>
      </c>
      <c r="J7" s="18" t="n">
        <f aca="false">H7-G7</f>
        <v>15.970832</v>
      </c>
      <c r="K7" s="24" t="n">
        <f aca="false">1/(1+Assumptions!$B$14)^(A7-Assumptions!$B$8)</f>
        <v>0.839619283032302</v>
      </c>
      <c r="L7" s="18" t="n">
        <f aca="false">I7*K7</f>
        <v>46.1178355286579</v>
      </c>
      <c r="M7" s="18" t="n">
        <f aca="false">J7*K7</f>
        <v>13.4094185132693</v>
      </c>
    </row>
    <row r="8" customFormat="false" ht="15" hidden="false" customHeight="false" outlineLevel="0" collapsed="false">
      <c r="A8" s="14" t="n">
        <v>2030</v>
      </c>
      <c r="B8" s="14" t="n">
        <f aca="false">25+A8-2027</f>
        <v>28</v>
      </c>
      <c r="C8" s="4" t="s">
        <v>86</v>
      </c>
      <c r="D8" s="17" t="n">
        <f aca="false">MAX(0,Assumptions!$B$11+INDEX(Assumptions!$A$24:$B$35,MATCH(B8,Assumptions!$A$24:$A$35,0),2))</f>
        <v>6.4</v>
      </c>
      <c r="E8" s="18" t="n">
        <f aca="false">Assumptions!$B$12*(1+Assumptions!$B$13)^(A8-2027)</f>
        <v>9.834543</v>
      </c>
      <c r="F8" s="18" t="n">
        <f aca="false">D8*E8</f>
        <v>62.9410752</v>
      </c>
      <c r="G8" s="7" t="n">
        <v>20</v>
      </c>
      <c r="H8" s="18" t="n">
        <f aca="false">IF(C8="pre-arb",Assumptions!$B$15,IF(C8="free agent",'FA deal'!$B$16,IF(C8="arb1",Assumptions!$B$16,IF(C8="arb2",Assumptions!$B$17,Assumptions!$B$18))*F8))</f>
        <v>37.76464512</v>
      </c>
      <c r="I8" s="18" t="n">
        <f aca="false">F8-G8</f>
        <v>42.9410752</v>
      </c>
      <c r="J8" s="18" t="n">
        <f aca="false">H8-G8</f>
        <v>17.76464512</v>
      </c>
      <c r="K8" s="24" t="n">
        <f aca="false">1/(1+Assumptions!$B$14)^(A8-Assumptions!$B$8)</f>
        <v>0.79209366323802</v>
      </c>
      <c r="L8" s="18" t="n">
        <f aca="false">I8*K8</f>
        <v>34.0133535585473</v>
      </c>
      <c r="M8" s="18" t="n">
        <f aca="false">J8*K8</f>
        <v>14.0712628292242</v>
      </c>
    </row>
    <row r="9" customFormat="false" ht="15" hidden="false" customHeight="false" outlineLevel="0" collapsed="false">
      <c r="A9" s="14" t="n">
        <v>2031</v>
      </c>
      <c r="B9" s="14" t="n">
        <f aca="false">25+A9-2027</f>
        <v>29</v>
      </c>
      <c r="C9" s="4" t="s">
        <v>87</v>
      </c>
      <c r="D9" s="17" t="n">
        <f aca="false">MAX(0,Assumptions!$B$11+INDEX(Assumptions!$A$24:$B$35,MATCH(B9,Assumptions!$A$24:$A$35,0),2))</f>
        <v>5.8</v>
      </c>
      <c r="E9" s="18" t="n">
        <f aca="false">Assumptions!$B$12*(1+Assumptions!$B$13)^(A9-2027)</f>
        <v>10.12957929</v>
      </c>
      <c r="F9" s="18" t="n">
        <f aca="false">D9*E9</f>
        <v>58.751559882</v>
      </c>
      <c r="G9" s="7" t="n">
        <v>30</v>
      </c>
      <c r="H9" s="18" t="n">
        <f aca="false">IF(C9="pre-arb",Assumptions!$B$15,IF(C9="free agent",'FA deal'!$B$16,IF(C9="arb1",Assumptions!$B$16,IF(C9="arb2",Assumptions!$B$17,Assumptions!$B$18))*F9))</f>
        <v>36.4972247339651</v>
      </c>
      <c r="I9" s="18" t="n">
        <f aca="false">F9-G9</f>
        <v>28.751559882</v>
      </c>
      <c r="J9" s="18" t="n">
        <f aca="false">H9-G9</f>
        <v>6.49722473396512</v>
      </c>
      <c r="K9" s="24" t="n">
        <f aca="false">1/(1+Assumptions!$B$14)^(A9-Assumptions!$B$8)</f>
        <v>0.747258172866057</v>
      </c>
      <c r="L9" s="18" t="n">
        <f aca="false">I9*K9</f>
        <v>21.4848381044724</v>
      </c>
      <c r="M9" s="18" t="n">
        <f aca="false">J9*K9</f>
        <v>4.85510428340293</v>
      </c>
    </row>
    <row r="10" customFormat="false" ht="15" hidden="false" customHeight="false" outlineLevel="0" collapsed="false">
      <c r="A10" s="14" t="n">
        <v>2032</v>
      </c>
      <c r="B10" s="14" t="n">
        <f aca="false">25+A10-2027</f>
        <v>30</v>
      </c>
      <c r="C10" s="4" t="s">
        <v>87</v>
      </c>
      <c r="D10" s="17" t="n">
        <f aca="false">MAX(0,Assumptions!$B$11+INDEX(Assumptions!$A$24:$B$35,MATCH(B10,Assumptions!$A$24:$A$35,0),2))</f>
        <v>5.1</v>
      </c>
      <c r="E10" s="18" t="n">
        <f aca="false">Assumptions!$B$12*(1+Assumptions!$B$13)^(A10-2027)</f>
        <v>10.4334666687</v>
      </c>
      <c r="F10" s="18" t="n">
        <f aca="false">D10*E10</f>
        <v>53.21068001037</v>
      </c>
      <c r="G10" s="7" t="n">
        <v>30</v>
      </c>
      <c r="H10" s="18" t="n">
        <f aca="false">IF(C10="pre-arb",Assumptions!$B$15,IF(C10="free agent",'FA deal'!$B$16,IF(C10="arb1",Assumptions!$B$16,IF(C10="arb2",Assumptions!$B$17,Assumptions!$B$18))*F10))</f>
        <v>36.4972247339651</v>
      </c>
      <c r="I10" s="18" t="n">
        <f aca="false">F10-G10</f>
        <v>23.21068001037</v>
      </c>
      <c r="J10" s="18" t="n">
        <f aca="false">H10-G10</f>
        <v>6.49722473396512</v>
      </c>
      <c r="K10" s="24" t="n">
        <f aca="false">1/(1+Assumptions!$B$14)^(A10-Assumptions!$B$8)</f>
        <v>0.704960540439676</v>
      </c>
      <c r="L10" s="18" t="n">
        <f aca="false">I10*K10</f>
        <v>16.3626135240828</v>
      </c>
      <c r="M10" s="18" t="n">
        <f aca="false">J10*K10</f>
        <v>4.58028705981408</v>
      </c>
    </row>
    <row r="11" customFormat="false" ht="15" hidden="false" customHeight="false" outlineLevel="0" collapsed="false">
      <c r="A11" s="3" t="s">
        <v>88</v>
      </c>
      <c r="D11" s="25" t="n">
        <f aca="false">SUM(D5:D10)</f>
        <v>37.4</v>
      </c>
      <c r="F11" s="26" t="n">
        <f aca="false">SUM(F5:F10)</f>
        <v>361.36639509237</v>
      </c>
      <c r="G11" s="26" t="n">
        <f aca="false">SUM(G5:G10)</f>
        <v>110</v>
      </c>
      <c r="H11" s="26" t="n">
        <f aca="false">SUM(H5:H10)</f>
        <v>153.48892658793</v>
      </c>
      <c r="I11" s="26" t="n">
        <f aca="false">SUM(I5:I10)</f>
        <v>251.36639509237</v>
      </c>
      <c r="J11" s="26" t="n">
        <f aca="false">SUM(J5:J10)</f>
        <v>43.4889265879302</v>
      </c>
      <c r="L11" s="26" t="n">
        <f aca="false">SUM(L5:L10)</f>
        <v>210.935208889488</v>
      </c>
      <c r="M11" s="26" t="n">
        <f aca="false">SUM(M5:M10)</f>
        <v>33.5509961460167</v>
      </c>
    </row>
    <row r="13" customFormat="false" ht="15" hidden="false" customHeight="false" outlineLevel="0" collapsed="false">
      <c r="A13" s="4" t="s">
        <v>89</v>
      </c>
      <c r="B13" s="5" t="n">
        <f aca="false">-Assumptions!$B$6</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2026-09-14T16:40:43Z</dcterms:created>
  <dc:creator>openpyxl</dc:creator>
  <dc:description/>
  <dc:language>en-US</dc:language>
  <cp:lastModifiedBy/>
  <dcterms:modified xsi:type="dcterms:W3CDTF">2026-09-14T16:40:43Z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